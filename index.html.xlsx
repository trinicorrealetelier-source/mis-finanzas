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<sst xmlns="http://schemas.openxmlformats.org/spreadsheetml/2006/main" count="489" uniqueCount="238">
  <si>
    <t>fecha</t>
  </si>
  <si>
    <t>descripcion</t>
  </si>
  <si>
    <t>monto</t>
  </si>
  <si>
    <t>tipo</t>
  </si>
  <si>
    <t>categoria</t>
  </si>
  <si>
    <t>id_operacion</t>
  </si>
  <si>
    <t>Transf para Pago Tarjeta CMR</t>
  </si>
  <si>
    <t>$ 765.460</t>
  </si>
  <si>
    <t>Gasto</t>
  </si>
  <si>
    <t>Transf. para Fintual</t>
  </si>
  <si>
    <t>$ 530.000</t>
  </si>
  <si>
    <t>Boton de Pago Servipag</t>
  </si>
  <si>
    <t>$ 51.100</t>
  </si>
  <si>
    <t>Transf. para Ignacia corre</t>
  </si>
  <si>
    <t>$ 19.990</t>
  </si>
  <si>
    <t>Transf. de Marion Eichhorn</t>
  </si>
  <si>
    <t>$ 10.780</t>
  </si>
  <si>
    <t>Ingreso</t>
  </si>
  <si>
    <t>Transf. de JAVIERA ANDREA RUBIO DI BIASE</t>
  </si>
  <si>
    <t>$ 13.900</t>
  </si>
  <si>
    <t>COMPRA COMERCIAL LUEZAS LTDA</t>
  </si>
  <si>
    <t>$32.480</t>
  </si>
  <si>
    <t>gasto</t>
  </si>
  <si>
    <t>COMPRA GET IT</t>
  </si>
  <si>
    <t>$1.690</t>
  </si>
  <si>
    <t>Transf. de Javiera Ignacia Correa</t>
  </si>
  <si>
    <t>$ 9.267</t>
  </si>
  <si>
    <t>$5.690</t>
  </si>
  <si>
    <t>Transf. de MARIA ASUNCION PALMA VALENZUE</t>
  </si>
  <si>
    <t>$ 12.687</t>
  </si>
  <si>
    <t>COMPRA 5UNSET LOUNGE</t>
  </si>
  <si>
    <t>$90.090</t>
  </si>
  <si>
    <t>COMPRA TICKETPLUS IM30</t>
  </si>
  <si>
    <t>$8.000</t>
  </si>
  <si>
    <t>$15.000</t>
  </si>
  <si>
    <t>$1.490</t>
  </si>
  <si>
    <t>Transf. de CLEMENTE JAVIEFERNANDEZ</t>
  </si>
  <si>
    <t>$ 5.000</t>
  </si>
  <si>
    <t>$ 10.000</t>
  </si>
  <si>
    <t>COMPRA MERCADOPAGO *FROENSSP</t>
  </si>
  <si>
    <t>$29.475</t>
  </si>
  <si>
    <t>COMPRA NELI PARQUE ARAUCO</t>
  </si>
  <si>
    <t>$34.076</t>
  </si>
  <si>
    <t>COMPRA VIDA PARQUE</t>
  </si>
  <si>
    <t>$6.600</t>
  </si>
  <si>
    <t>COMPRA CV 006</t>
  </si>
  <si>
    <t>$7.990</t>
  </si>
  <si>
    <t>COMPRA COMERCIAL KYE SA</t>
  </si>
  <si>
    <t>$10.000</t>
  </si>
  <si>
    <t>SERVICIO ADMINISTRACION</t>
  </si>
  <si>
    <t>$5.167</t>
  </si>
  <si>
    <t>COMPRA JET</t>
  </si>
  <si>
    <t>$520</t>
  </si>
  <si>
    <t>$610</t>
  </si>
  <si>
    <t>$ 15.000</t>
  </si>
  <si>
    <t>Transf. de Marcos Juan Luis Ferna</t>
  </si>
  <si>
    <t>$ 11.000</t>
  </si>
  <si>
    <t>Transf. para Maximiliano r</t>
  </si>
  <si>
    <t>$ 20.060</t>
  </si>
  <si>
    <t>COMPRA SUMUP * CALA GITANA</t>
  </si>
  <si>
    <t>$12.000</t>
  </si>
  <si>
    <t>COMPRA VIVIANNE HICKMANN</t>
  </si>
  <si>
    <t>$97.000</t>
  </si>
  <si>
    <t>COMPRA MP *CABIFY2603GT5YQNU</t>
  </si>
  <si>
    <t>$11.966</t>
  </si>
  <si>
    <t>COMPRA UDRINKS</t>
  </si>
  <si>
    <t>$18.000</t>
  </si>
  <si>
    <t>$7.500</t>
  </si>
  <si>
    <t>$3.780</t>
  </si>
  <si>
    <t>$20.234</t>
  </si>
  <si>
    <t>$1.990</t>
  </si>
  <si>
    <t>$ 29.250</t>
  </si>
  <si>
    <t>COMPRA SABA ARAUCO KENNEDY</t>
  </si>
  <si>
    <t>$3.850</t>
  </si>
  <si>
    <t>COMPRA MERPAGO*FURO</t>
  </si>
  <si>
    <t>$4.719</t>
  </si>
  <si>
    <t>Transf. para Clemente fern</t>
  </si>
  <si>
    <t>COMPRA ANTICA-ISIDORA</t>
  </si>
  <si>
    <t>$3.500</t>
  </si>
  <si>
    <t>COMPRA MERCADOPAGO *ARENACAF</t>
  </si>
  <si>
    <t>$17.930</t>
  </si>
  <si>
    <t>$ 8.965</t>
  </si>
  <si>
    <t>$6.970</t>
  </si>
  <si>
    <t>COMPRA SUMUP * TURUYAKU</t>
  </si>
  <si>
    <t>$9.240</t>
  </si>
  <si>
    <t>PAGO TARJETA CMR</t>
  </si>
  <si>
    <t>$429.580</t>
  </si>
  <si>
    <t>Remuneraciones</t>
  </si>
  <si>
    <t>$ 1.491.581</t>
  </si>
  <si>
    <t>$ 429.580</t>
  </si>
  <si>
    <t>$ 40.025</t>
  </si>
  <si>
    <t>$ 1.000.000</t>
  </si>
  <si>
    <t>$ 49.990</t>
  </si>
  <si>
    <t>COMPRA LA BIRRA CHILE SPA</t>
  </si>
  <si>
    <t>$8.190</t>
  </si>
  <si>
    <t>$ 8.000</t>
  </si>
  <si>
    <t>Transf. de Maria Correa Letelier</t>
  </si>
  <si>
    <t>$ 50.978</t>
  </si>
  <si>
    <t>COMPRA VITACURA RIESCO</t>
  </si>
  <si>
    <t>$2.490</t>
  </si>
  <si>
    <t>$1.090</t>
  </si>
  <si>
    <t>COMPRA FALABELLA.COM</t>
  </si>
  <si>
    <t>$114.990</t>
  </si>
  <si>
    <t>$ 75.000</t>
  </si>
  <si>
    <t>COMPRA SUMUP * THE QUALIS</t>
  </si>
  <si>
    <t>$19.990</t>
  </si>
  <si>
    <t>COMPRA MP *WHOOSHCLSPA</t>
  </si>
  <si>
    <t>$2.425</t>
  </si>
  <si>
    <t>Transf. de Maria del Sagrado Cora</t>
  </si>
  <si>
    <t>$ 20.294</t>
  </si>
  <si>
    <t>COMPRA MP *GOODMEAL</t>
  </si>
  <si>
    <t>$24.818</t>
  </si>
  <si>
    <t>COMPRA MERCADOPAGO *DUPLOZ</t>
  </si>
  <si>
    <t>$17.380</t>
  </si>
  <si>
    <t>COMPRA C. VERDE SANTO DOMINGO</t>
  </si>
  <si>
    <t>$6.990</t>
  </si>
  <si>
    <t>$5.162</t>
  </si>
  <si>
    <t>COMPRA MELFER SPA</t>
  </si>
  <si>
    <t>$4.440</t>
  </si>
  <si>
    <t>COMPRA MOVISTAR PAY SIMSCV</t>
  </si>
  <si>
    <t>$14.863</t>
  </si>
  <si>
    <t>COMPRA APP ARAMCO ESTACIONES</t>
  </si>
  <si>
    <t>$31.319</t>
  </si>
  <si>
    <t>$2.790</t>
  </si>
  <si>
    <t>$1.550</t>
  </si>
  <si>
    <t>COMPRA RIESCO 2</t>
  </si>
  <si>
    <t>$990</t>
  </si>
  <si>
    <t>PAGO SERVIPAG Santiago CHL</t>
  </si>
  <si>
    <t>$ 36.138</t>
  </si>
  <si>
    <t>$ 12.000</t>
  </si>
  <si>
    <t>Transf. para Macarena lete</t>
  </si>
  <si>
    <t>$ 118.000</t>
  </si>
  <si>
    <t>COMPRA 40542-SBX TITANIUM</t>
  </si>
  <si>
    <t>$3.400</t>
  </si>
  <si>
    <t>$3.700</t>
  </si>
  <si>
    <t>Transf. de Santiago Andres Fernan</t>
  </si>
  <si>
    <t>$ 21.000</t>
  </si>
  <si>
    <t>COMPRA PASS LINE LTDA</t>
  </si>
  <si>
    <t>$34.500</t>
  </si>
  <si>
    <t>Transf. de Maria Isabel Milnes</t>
  </si>
  <si>
    <t>COMPRA TICKETMASTER</t>
  </si>
  <si>
    <t>$95.634</t>
  </si>
  <si>
    <t>COMPRA MERCADOPAGO *BAZOSPA</t>
  </si>
  <si>
    <t>COMPRA UNIMARC SANTO DOMINGO</t>
  </si>
  <si>
    <t>$9.780</t>
  </si>
  <si>
    <t>COMPRA MERCADOPAGO *ALPHAPLA</t>
  </si>
  <si>
    <t>COMPRA TUU*horus</t>
  </si>
  <si>
    <t>$12.980</t>
  </si>
  <si>
    <t>COMPRA SUMUP * NOLANA</t>
  </si>
  <si>
    <t>$55.700</t>
  </si>
  <si>
    <t>COMPRA MP *PARQUETRICAO</t>
  </si>
  <si>
    <t>$28.000</t>
  </si>
  <si>
    <t>Transf. de MAGDALENA JESUCASTRO</t>
  </si>
  <si>
    <t>$ 33.930</t>
  </si>
  <si>
    <t>COMPRA LA CUINA</t>
  </si>
  <si>
    <t>$95.970</t>
  </si>
  <si>
    <t>COMPRA MERCADOPAGO *HUASO</t>
  </si>
  <si>
    <t>$4.600</t>
  </si>
  <si>
    <t>COMPRA MINIMARKET SANTA MARIA</t>
  </si>
  <si>
    <t>$13.980</t>
  </si>
  <si>
    <t>$475.010</t>
  </si>
  <si>
    <t>ingreso</t>
  </si>
  <si>
    <t>$ 30.000</t>
  </si>
  <si>
    <t>$ 1.354.530</t>
  </si>
  <si>
    <t>$3.180</t>
  </si>
  <si>
    <t>COMPRA TIP Y TAP</t>
  </si>
  <si>
    <t>$43.230</t>
  </si>
  <si>
    <t>COMPRA EL CARRITO GOURMET</t>
  </si>
  <si>
    <t>$2.500</t>
  </si>
  <si>
    <t>COMPRA C.D. GRYLAN</t>
  </si>
  <si>
    <t>$6.743</t>
  </si>
  <si>
    <t>COMPRA RedGloba*GABRI</t>
  </si>
  <si>
    <t>$6.900</t>
  </si>
  <si>
    <t>COMPRA LA KOKA</t>
  </si>
  <si>
    <t>$30.556</t>
  </si>
  <si>
    <t>COMPRA EATTOUCH</t>
  </si>
  <si>
    <t>$3.074</t>
  </si>
  <si>
    <t>$ 475.010</t>
  </si>
  <si>
    <t>$ 16.410</t>
  </si>
  <si>
    <t>Transf. para Maria trinida</t>
  </si>
  <si>
    <t>$ 3.115</t>
  </si>
  <si>
    <t>$ 945.000</t>
  </si>
  <si>
    <t>$ 110.000</t>
  </si>
  <si>
    <t>$ 100.000</t>
  </si>
  <si>
    <t>Transf. de MARIEL ELSA PALLERES ARAVENA</t>
  </si>
  <si>
    <t>$ 4.000</t>
  </si>
  <si>
    <t>Transf. de EVA LARRAIN SANCHEZ</t>
  </si>
  <si>
    <t>Transf. de Alejandro Jose Gonzale</t>
  </si>
  <si>
    <t>DEVOLUCION COMPRA EATTOUCH</t>
  </si>
  <si>
    <t>$52.563</t>
  </si>
  <si>
    <t>$4.980</t>
  </si>
  <si>
    <t>COMPRA UBER EATS</t>
  </si>
  <si>
    <t>$39.467</t>
  </si>
  <si>
    <t>Pago Proveedores</t>
  </si>
  <si>
    <t>$ 65.985</t>
  </si>
  <si>
    <t>COMPRA PAGOS WEB</t>
  </si>
  <si>
    <t>$123.081</t>
  </si>
  <si>
    <t>COMPRA WWW.ALIEXPRESS.COM</t>
  </si>
  <si>
    <t>$44.504</t>
  </si>
  <si>
    <t>COMPRA ALEJANDO WILLIAMS</t>
  </si>
  <si>
    <t>$29.000</t>
  </si>
  <si>
    <t>COMPRA MC DONALDS 4 04</t>
  </si>
  <si>
    <t>$5.390</t>
  </si>
  <si>
    <t>COMPRA MP *BECYCLESPA</t>
  </si>
  <si>
    <t>$8.300</t>
  </si>
  <si>
    <t>$3.890</t>
  </si>
  <si>
    <t>Transf. de Raquel Correa</t>
  </si>
  <si>
    <t>$ 50.000</t>
  </si>
  <si>
    <t>$ 7.000</t>
  </si>
  <si>
    <t>COMPRA MERPAGO*CORPDEPVITACU</t>
  </si>
  <si>
    <t>$28.500</t>
  </si>
  <si>
    <t>$49.990</t>
  </si>
  <si>
    <t>COMPRA PALUMBO COSTANERA CE</t>
  </si>
  <si>
    <t>COMPRA LBB LOS TRAPENSES SPA</t>
  </si>
  <si>
    <t>$7.280</t>
  </si>
  <si>
    <t>$5.179</t>
  </si>
  <si>
    <t>Transf. para Medio de Pago</t>
  </si>
  <si>
    <t>$ 6.900</t>
  </si>
  <si>
    <t>$ 20.000</t>
  </si>
  <si>
    <t>Transf. para Maria luisa p</t>
  </si>
  <si>
    <t>Transf. para Catalina erra</t>
  </si>
  <si>
    <t>$ 16.500</t>
  </si>
  <si>
    <t>Transf. para Amanda orchar</t>
  </si>
  <si>
    <t>$ 20.900</t>
  </si>
  <si>
    <t>Transf. de ALFONSO ANDRADE HERRERA</t>
  </si>
  <si>
    <t>$ 22.000</t>
  </si>
  <si>
    <t>Transf. de Matthias Dietert</t>
  </si>
  <si>
    <t>$ 21.992</t>
  </si>
  <si>
    <t>Transf. de Maximiliano Rivera Alarcon</t>
  </si>
  <si>
    <t>Transf. de Blanca Ward</t>
  </si>
  <si>
    <t>$ 60.000</t>
  </si>
  <si>
    <t>Transf. de JOAQUIN FUENZALIDA LASO</t>
  </si>
  <si>
    <t>$ 1.563.758</t>
  </si>
  <si>
    <t>$ 964.420</t>
  </si>
  <si>
    <t>$ 1.000</t>
  </si>
  <si>
    <t>Transf. de Maria Trinidad Correa Letelie</t>
  </si>
  <si>
    <t>$ 4.876</t>
  </si>
  <si>
    <t>$ 3.990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</si>
</sst>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d/mm/yyyy"/>
    <numFmt numFmtId="166" formatCode="dd/mm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color rgb="FF000000"/>
      <name val="Arial"/>
    </font>
    <font>
      <sz val="10.0"/>
      <color rgb="FF000000"/>
      <name val="Arial"/>
    </font>
    <font>
      <sz val="10.0"/>
      <color rgb="FF323537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bottom style="thin">
        <color rgb="FFC0CED6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3" numFmtId="165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1" fillId="2" fontId="5" numFmtId="166" xfId="0" applyAlignment="1" applyBorder="1" applyFill="1" applyFont="1" applyNumberFormat="1">
      <alignment horizontal="left" readingOrder="0" vertical="top"/>
    </xf>
    <xf borderId="1" fillId="0" fontId="1" numFmtId="0" xfId="0" applyAlignment="1" applyBorder="1" applyFont="1">
      <alignment horizontal="left"/>
    </xf>
    <xf borderId="0" fillId="3" fontId="3" numFmtId="164" xfId="0" applyAlignment="1" applyFill="1" applyFont="1" applyNumberFormat="1">
      <alignment horizontal="left" readingOrder="0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left" readingOrder="0" shrinkToFit="0" vertical="bottom" wrapText="0"/>
    </xf>
    <xf borderId="0" fillId="3" fontId="1" numFmtId="0" xfId="0" applyAlignment="1" applyFont="1">
      <alignment horizontal="left"/>
    </xf>
  </cellXfs>
  <cellStyles count="1">
    <cellStyle xfId="0" name="Normal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46024.0</v>
      </c>
      <c r="B2" s="5" t="s">
        <v>6</v>
      </c>
      <c r="C2" s="5" t="s">
        <v>7</v>
      </c>
      <c r="D2" s="6" t="s">
        <v>8</v>
      </c>
      <c r="E2" s="3"/>
      <c r="F2" s="7">
        <f t="shared" ref="F2:F162" si="1">ROW()</f>
        <v>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46024.0</v>
      </c>
      <c r="B3" s="5" t="s">
        <v>9</v>
      </c>
      <c r="C3" s="5" t="s">
        <v>10</v>
      </c>
      <c r="D3" s="6" t="s">
        <v>8</v>
      </c>
      <c r="E3" s="3"/>
      <c r="F3" s="7">
        <f t="shared" si="1"/>
        <v>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46027.0</v>
      </c>
      <c r="B4" s="5" t="s">
        <v>11</v>
      </c>
      <c r="C4" s="5" t="s">
        <v>12</v>
      </c>
      <c r="D4" s="6" t="s">
        <v>8</v>
      </c>
      <c r="E4" s="3"/>
      <c r="F4" s="7">
        <f t="shared" si="1"/>
        <v>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46027.0</v>
      </c>
      <c r="B5" s="5" t="s">
        <v>13</v>
      </c>
      <c r="C5" s="5" t="s">
        <v>14</v>
      </c>
      <c r="D5" s="6" t="s">
        <v>8</v>
      </c>
      <c r="E5" s="3"/>
      <c r="F5" s="7">
        <f t="shared" si="1"/>
        <v>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46027.0</v>
      </c>
      <c r="B6" s="5" t="s">
        <v>15</v>
      </c>
      <c r="C6" s="5" t="s">
        <v>16</v>
      </c>
      <c r="D6" s="6" t="s">
        <v>17</v>
      </c>
      <c r="E6" s="3"/>
      <c r="F6" s="7">
        <f t="shared" si="1"/>
        <v>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46027.0</v>
      </c>
      <c r="B7" s="5" t="s">
        <v>18</v>
      </c>
      <c r="C7" s="5" t="s">
        <v>19</v>
      </c>
      <c r="D7" s="6" t="s">
        <v>17</v>
      </c>
      <c r="E7" s="3"/>
      <c r="F7" s="7">
        <f t="shared" si="1"/>
        <v>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>
        <v>46028.0</v>
      </c>
      <c r="B8" s="5" t="s">
        <v>20</v>
      </c>
      <c r="C8" s="5" t="s">
        <v>21</v>
      </c>
      <c r="D8" s="9" t="s">
        <v>22</v>
      </c>
      <c r="E8" s="3"/>
      <c r="F8" s="7">
        <f t="shared" si="1"/>
        <v>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>
        <v>46029.0</v>
      </c>
      <c r="B9" s="5" t="s">
        <v>23</v>
      </c>
      <c r="C9" s="5" t="s">
        <v>24</v>
      </c>
      <c r="D9" s="9" t="s">
        <v>22</v>
      </c>
      <c r="E9" s="3"/>
      <c r="F9" s="7">
        <f t="shared" si="1"/>
        <v>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46029.0</v>
      </c>
      <c r="B10" s="5" t="s">
        <v>25</v>
      </c>
      <c r="C10" s="5" t="s">
        <v>26</v>
      </c>
      <c r="D10" s="6" t="s">
        <v>17</v>
      </c>
      <c r="E10" s="3"/>
      <c r="F10" s="7">
        <f t="shared" si="1"/>
        <v>10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>
        <v>46030.0</v>
      </c>
      <c r="B11" s="5" t="s">
        <v>23</v>
      </c>
      <c r="C11" s="5" t="s">
        <v>27</v>
      </c>
      <c r="D11" s="9" t="s">
        <v>22</v>
      </c>
      <c r="E11" s="3"/>
      <c r="F11" s="7">
        <f t="shared" si="1"/>
        <v>11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46030.0</v>
      </c>
      <c r="B12" s="5" t="s">
        <v>28</v>
      </c>
      <c r="C12" s="5" t="s">
        <v>29</v>
      </c>
      <c r="D12" s="6" t="s">
        <v>17</v>
      </c>
      <c r="E12" s="3"/>
      <c r="F12" s="7">
        <f t="shared" si="1"/>
        <v>12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>
        <v>46031.0</v>
      </c>
      <c r="B13" s="5" t="s">
        <v>30</v>
      </c>
      <c r="C13" s="5" t="s">
        <v>31</v>
      </c>
      <c r="D13" s="9" t="s">
        <v>22</v>
      </c>
      <c r="E13" s="3"/>
      <c r="F13" s="7">
        <f t="shared" si="1"/>
        <v>13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>
        <v>46033.0</v>
      </c>
      <c r="B14" s="5" t="s">
        <v>32</v>
      </c>
      <c r="C14" s="5" t="s">
        <v>33</v>
      </c>
      <c r="D14" s="9" t="s">
        <v>22</v>
      </c>
      <c r="E14" s="3"/>
      <c r="F14" s="7">
        <f t="shared" si="1"/>
        <v>14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>
        <v>46033.0</v>
      </c>
      <c r="B15" s="5" t="s">
        <v>32</v>
      </c>
      <c r="C15" s="5" t="s">
        <v>34</v>
      </c>
      <c r="D15" s="9" t="s">
        <v>22</v>
      </c>
      <c r="E15" s="3"/>
      <c r="F15" s="7">
        <f t="shared" si="1"/>
        <v>15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>
        <v>46034.0</v>
      </c>
      <c r="B16" s="5" t="s">
        <v>23</v>
      </c>
      <c r="C16" s="5" t="s">
        <v>35</v>
      </c>
      <c r="D16" s="9" t="s">
        <v>22</v>
      </c>
      <c r="E16" s="3"/>
      <c r="F16" s="7">
        <f t="shared" si="1"/>
        <v>16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46034.0</v>
      </c>
      <c r="B17" s="5" t="s">
        <v>36</v>
      </c>
      <c r="C17" s="5" t="s">
        <v>37</v>
      </c>
      <c r="D17" s="6" t="s">
        <v>17</v>
      </c>
      <c r="E17" s="3"/>
      <c r="F17" s="7">
        <f t="shared" si="1"/>
        <v>17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46034.0</v>
      </c>
      <c r="B18" s="5" t="s">
        <v>36</v>
      </c>
      <c r="C18" s="5" t="s">
        <v>38</v>
      </c>
      <c r="D18" s="6" t="s">
        <v>17</v>
      </c>
      <c r="E18" s="3"/>
      <c r="F18" s="7">
        <f t="shared" si="1"/>
        <v>18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46035.0</v>
      </c>
      <c r="B19" s="5" t="s">
        <v>39</v>
      </c>
      <c r="C19" s="5" t="s">
        <v>40</v>
      </c>
      <c r="D19" s="9" t="s">
        <v>22</v>
      </c>
      <c r="E19" s="3"/>
      <c r="F19" s="7">
        <f t="shared" si="1"/>
        <v>19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46036.0</v>
      </c>
      <c r="B20" s="5" t="s">
        <v>41</v>
      </c>
      <c r="C20" s="5" t="s">
        <v>42</v>
      </c>
      <c r="D20" s="9" t="s">
        <v>22</v>
      </c>
      <c r="E20" s="3"/>
      <c r="F20" s="7">
        <f t="shared" si="1"/>
        <v>20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46036.0</v>
      </c>
      <c r="B21" s="5" t="s">
        <v>43</v>
      </c>
      <c r="C21" s="5" t="s">
        <v>44</v>
      </c>
      <c r="D21" s="9" t="s">
        <v>22</v>
      </c>
      <c r="E21" s="3"/>
      <c r="F21" s="7">
        <f t="shared" si="1"/>
        <v>21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46036.0</v>
      </c>
      <c r="B22" s="5" t="s">
        <v>45</v>
      </c>
      <c r="C22" s="5" t="s">
        <v>46</v>
      </c>
      <c r="D22" s="9" t="s">
        <v>22</v>
      </c>
      <c r="E22" s="3"/>
      <c r="F22" s="7">
        <f t="shared" si="1"/>
        <v>22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46036.0</v>
      </c>
      <c r="B23" s="5" t="s">
        <v>47</v>
      </c>
      <c r="C23" s="5" t="s">
        <v>48</v>
      </c>
      <c r="D23" s="9" t="s">
        <v>22</v>
      </c>
      <c r="E23" s="3"/>
      <c r="F23" s="7">
        <f t="shared" si="1"/>
        <v>23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46036.0</v>
      </c>
      <c r="B24" s="5" t="s">
        <v>49</v>
      </c>
      <c r="C24" s="5" t="s">
        <v>50</v>
      </c>
      <c r="D24" s="9" t="s">
        <v>22</v>
      </c>
      <c r="E24" s="3"/>
      <c r="F24" s="7">
        <f t="shared" si="1"/>
        <v>24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46037.0</v>
      </c>
      <c r="B25" s="5" t="s">
        <v>51</v>
      </c>
      <c r="C25" s="5" t="s">
        <v>52</v>
      </c>
      <c r="D25" s="9" t="s">
        <v>22</v>
      </c>
      <c r="E25" s="3"/>
      <c r="F25" s="7">
        <f t="shared" si="1"/>
        <v>25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46037.0</v>
      </c>
      <c r="B26" s="5" t="s">
        <v>51</v>
      </c>
      <c r="C26" s="5" t="s">
        <v>53</v>
      </c>
      <c r="D26" s="9" t="s">
        <v>22</v>
      </c>
      <c r="E26" s="3"/>
      <c r="F26" s="7">
        <f t="shared" si="1"/>
        <v>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46037.0</v>
      </c>
      <c r="B27" s="5" t="s">
        <v>36</v>
      </c>
      <c r="C27" s="5" t="s">
        <v>54</v>
      </c>
      <c r="D27" s="6" t="s">
        <v>17</v>
      </c>
      <c r="E27" s="3"/>
      <c r="F27" s="7">
        <f t="shared" si="1"/>
        <v>27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46037.0</v>
      </c>
      <c r="B28" s="5" t="s">
        <v>55</v>
      </c>
      <c r="C28" s="5" t="s">
        <v>56</v>
      </c>
      <c r="D28" s="6" t="s">
        <v>17</v>
      </c>
      <c r="E28" s="3"/>
      <c r="F28" s="7">
        <f t="shared" si="1"/>
        <v>28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46037.0</v>
      </c>
      <c r="B29" s="5" t="s">
        <v>57</v>
      </c>
      <c r="C29" s="5" t="s">
        <v>58</v>
      </c>
      <c r="D29" s="6" t="s">
        <v>8</v>
      </c>
      <c r="E29" s="3"/>
      <c r="F29" s="7">
        <f t="shared" si="1"/>
        <v>29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46038.0</v>
      </c>
      <c r="B30" s="5" t="s">
        <v>59</v>
      </c>
      <c r="C30" s="5" t="s">
        <v>60</v>
      </c>
      <c r="D30" s="9" t="s">
        <v>22</v>
      </c>
      <c r="E30" s="3"/>
      <c r="F30" s="7">
        <f t="shared" si="1"/>
        <v>30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46038.0</v>
      </c>
      <c r="B31" s="5" t="s">
        <v>61</v>
      </c>
      <c r="C31" s="5" t="s">
        <v>62</v>
      </c>
      <c r="D31" s="9" t="s">
        <v>22</v>
      </c>
      <c r="E31" s="3"/>
      <c r="F31" s="7">
        <f t="shared" si="1"/>
        <v>31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46040.0</v>
      </c>
      <c r="B32" s="5" t="s">
        <v>63</v>
      </c>
      <c r="C32" s="5" t="s">
        <v>64</v>
      </c>
      <c r="D32" s="9" t="s">
        <v>22</v>
      </c>
      <c r="E32" s="3"/>
      <c r="F32" s="7">
        <f t="shared" si="1"/>
        <v>32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46040.0</v>
      </c>
      <c r="B33" s="5" t="s">
        <v>65</v>
      </c>
      <c r="C33" s="5" t="s">
        <v>66</v>
      </c>
      <c r="D33" s="9" t="s">
        <v>22</v>
      </c>
      <c r="E33" s="3"/>
      <c r="F33" s="7">
        <f t="shared" si="1"/>
        <v>33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46040.0</v>
      </c>
      <c r="B34" s="5" t="s">
        <v>65</v>
      </c>
      <c r="C34" s="5" t="s">
        <v>67</v>
      </c>
      <c r="D34" s="9" t="s">
        <v>22</v>
      </c>
      <c r="E34" s="3"/>
      <c r="F34" s="7">
        <f t="shared" si="1"/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46041.0</v>
      </c>
      <c r="B35" s="5" t="s">
        <v>23</v>
      </c>
      <c r="C35" s="5" t="s">
        <v>68</v>
      </c>
      <c r="D35" s="9" t="s">
        <v>22</v>
      </c>
      <c r="E35" s="3"/>
      <c r="F35" s="7">
        <f t="shared" si="1"/>
        <v>35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46042.0</v>
      </c>
      <c r="B36" s="5" t="s">
        <v>45</v>
      </c>
      <c r="C36" s="5" t="s">
        <v>69</v>
      </c>
      <c r="D36" s="9" t="s">
        <v>22</v>
      </c>
      <c r="E36" s="3"/>
      <c r="F36" s="7">
        <f t="shared" si="1"/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46042.0</v>
      </c>
      <c r="B37" s="5" t="s">
        <v>23</v>
      </c>
      <c r="C37" s="5" t="s">
        <v>70</v>
      </c>
      <c r="D37" s="9" t="s">
        <v>22</v>
      </c>
      <c r="E37" s="3"/>
      <c r="F37" s="7">
        <f t="shared" si="1"/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46042.0</v>
      </c>
      <c r="B38" s="5" t="s">
        <v>11</v>
      </c>
      <c r="C38" s="5" t="s">
        <v>71</v>
      </c>
      <c r="D38" s="6" t="s">
        <v>8</v>
      </c>
      <c r="E38" s="3"/>
      <c r="F38" s="7">
        <f t="shared" si="1"/>
        <v>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46043.0</v>
      </c>
      <c r="B39" s="5" t="s">
        <v>72</v>
      </c>
      <c r="C39" s="5" t="s">
        <v>73</v>
      </c>
      <c r="D39" s="9" t="s">
        <v>22</v>
      </c>
      <c r="E39" s="3"/>
      <c r="F39" s="7">
        <f t="shared" si="1"/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46043.0</v>
      </c>
      <c r="B40" s="5" t="s">
        <v>74</v>
      </c>
      <c r="C40" s="5" t="s">
        <v>75</v>
      </c>
      <c r="D40" s="9" t="s">
        <v>22</v>
      </c>
      <c r="E40" s="3"/>
      <c r="F40" s="7">
        <f t="shared" si="1"/>
        <v>40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46043.0</v>
      </c>
      <c r="B41" s="5" t="s">
        <v>76</v>
      </c>
      <c r="C41" s="5" t="s">
        <v>54</v>
      </c>
      <c r="D41" s="6" t="s">
        <v>8</v>
      </c>
      <c r="E41" s="3"/>
      <c r="F41" s="7">
        <f t="shared" si="1"/>
        <v>41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46044.0</v>
      </c>
      <c r="B42" s="5" t="s">
        <v>77</v>
      </c>
      <c r="C42" s="5" t="s">
        <v>78</v>
      </c>
      <c r="D42" s="9" t="s">
        <v>22</v>
      </c>
      <c r="E42" s="3"/>
      <c r="F42" s="7">
        <f t="shared" si="1"/>
        <v>42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46047.0</v>
      </c>
      <c r="B43" s="5" t="s">
        <v>79</v>
      </c>
      <c r="C43" s="5" t="s">
        <v>80</v>
      </c>
      <c r="D43" s="9" t="s">
        <v>22</v>
      </c>
      <c r="E43" s="3"/>
      <c r="F43" s="7">
        <f t="shared" si="1"/>
        <v>43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46050.0</v>
      </c>
      <c r="B44" s="5" t="s">
        <v>25</v>
      </c>
      <c r="C44" s="5" t="s">
        <v>81</v>
      </c>
      <c r="D44" s="6" t="s">
        <v>17</v>
      </c>
      <c r="E44" s="3"/>
      <c r="F44" s="7">
        <f t="shared" si="1"/>
        <v>44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46051.0</v>
      </c>
      <c r="B45" s="5" t="s">
        <v>23</v>
      </c>
      <c r="C45" s="5" t="s">
        <v>82</v>
      </c>
      <c r="D45" s="9" t="s">
        <v>22</v>
      </c>
      <c r="E45" s="3"/>
      <c r="F45" s="7">
        <f t="shared" si="1"/>
        <v>45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46051.0</v>
      </c>
      <c r="B46" s="5" t="s">
        <v>83</v>
      </c>
      <c r="C46" s="5" t="s">
        <v>84</v>
      </c>
      <c r="D46" s="9" t="s">
        <v>22</v>
      </c>
      <c r="E46" s="3"/>
      <c r="F46" s="7">
        <f t="shared" si="1"/>
        <v>46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46051.0</v>
      </c>
      <c r="B47" s="5" t="s">
        <v>85</v>
      </c>
      <c r="C47" s="5" t="s">
        <v>86</v>
      </c>
      <c r="D47" s="9" t="s">
        <v>22</v>
      </c>
      <c r="E47" s="3"/>
      <c r="F47" s="7">
        <f t="shared" si="1"/>
        <v>47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46052.0</v>
      </c>
      <c r="B48" s="5" t="s">
        <v>87</v>
      </c>
      <c r="C48" s="5" t="s">
        <v>88</v>
      </c>
      <c r="D48" s="6" t="s">
        <v>17</v>
      </c>
      <c r="E48" s="3"/>
      <c r="F48" s="7">
        <f t="shared" si="1"/>
        <v>48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46052.0</v>
      </c>
      <c r="B49" s="5" t="s">
        <v>6</v>
      </c>
      <c r="C49" s="5" t="s">
        <v>89</v>
      </c>
      <c r="D49" s="6" t="s">
        <v>8</v>
      </c>
      <c r="E49" s="3"/>
      <c r="F49" s="7">
        <f t="shared" si="1"/>
        <v>49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46052.0</v>
      </c>
      <c r="B50" s="5" t="s">
        <v>11</v>
      </c>
      <c r="C50" s="5" t="s">
        <v>90</v>
      </c>
      <c r="D50" s="6" t="s">
        <v>8</v>
      </c>
      <c r="E50" s="3"/>
      <c r="F50" s="7">
        <f t="shared" si="1"/>
        <v>50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46052.0</v>
      </c>
      <c r="B51" s="5" t="s">
        <v>9</v>
      </c>
      <c r="C51" s="5" t="s">
        <v>91</v>
      </c>
      <c r="D51" s="6" t="s">
        <v>8</v>
      </c>
      <c r="E51" s="3"/>
      <c r="F51" s="7">
        <f t="shared" si="1"/>
        <v>51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46052.0</v>
      </c>
      <c r="B52" s="5" t="s">
        <v>76</v>
      </c>
      <c r="C52" s="5" t="s">
        <v>92</v>
      </c>
      <c r="D52" s="6" t="s">
        <v>8</v>
      </c>
      <c r="E52" s="3"/>
      <c r="F52" s="7">
        <f t="shared" si="1"/>
        <v>52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46055.0</v>
      </c>
      <c r="B53" s="5" t="s">
        <v>93</v>
      </c>
      <c r="C53" s="5" t="s">
        <v>94</v>
      </c>
      <c r="D53" s="9" t="s">
        <v>22</v>
      </c>
      <c r="E53" s="3"/>
      <c r="F53" s="7">
        <f t="shared" si="1"/>
        <v>53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46055.0</v>
      </c>
      <c r="B54" s="5" t="s">
        <v>36</v>
      </c>
      <c r="C54" s="5" t="s">
        <v>95</v>
      </c>
      <c r="D54" s="6" t="s">
        <v>17</v>
      </c>
      <c r="E54" s="3"/>
      <c r="F54" s="7">
        <f t="shared" si="1"/>
        <v>54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46055.0</v>
      </c>
      <c r="B55" s="5" t="s">
        <v>96</v>
      </c>
      <c r="C55" s="5" t="s">
        <v>97</v>
      </c>
      <c r="D55" s="6" t="s">
        <v>17</v>
      </c>
      <c r="E55" s="3"/>
      <c r="F55" s="7">
        <f t="shared" si="1"/>
        <v>55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46056.0</v>
      </c>
      <c r="B56" s="5" t="s">
        <v>98</v>
      </c>
      <c r="C56" s="5" t="s">
        <v>99</v>
      </c>
      <c r="D56" s="9" t="s">
        <v>22</v>
      </c>
      <c r="E56" s="3"/>
      <c r="F56" s="7">
        <f t="shared" si="1"/>
        <v>56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46056.0</v>
      </c>
      <c r="B57" s="5" t="s">
        <v>98</v>
      </c>
      <c r="C57" s="5" t="s">
        <v>100</v>
      </c>
      <c r="D57" s="9" t="s">
        <v>22</v>
      </c>
      <c r="E57" s="3"/>
      <c r="F57" s="7">
        <f t="shared" si="1"/>
        <v>57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46056.0</v>
      </c>
      <c r="B58" s="5" t="s">
        <v>101</v>
      </c>
      <c r="C58" s="5" t="s">
        <v>102</v>
      </c>
      <c r="D58" s="9" t="s">
        <v>22</v>
      </c>
      <c r="E58" s="3"/>
      <c r="F58" s="7">
        <f t="shared" si="1"/>
        <v>58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46056.0</v>
      </c>
      <c r="B59" s="5" t="s">
        <v>36</v>
      </c>
      <c r="C59" s="5" t="s">
        <v>103</v>
      </c>
      <c r="D59" s="6" t="s">
        <v>17</v>
      </c>
      <c r="E59" s="3"/>
      <c r="F59" s="7">
        <f t="shared" si="1"/>
        <v>59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46057.0</v>
      </c>
      <c r="B60" s="5" t="s">
        <v>104</v>
      </c>
      <c r="C60" s="5" t="s">
        <v>105</v>
      </c>
      <c r="D60" s="9" t="s">
        <v>22</v>
      </c>
      <c r="E60" s="3"/>
      <c r="F60" s="7">
        <f t="shared" si="1"/>
        <v>60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46057.0</v>
      </c>
      <c r="B61" s="5" t="s">
        <v>106</v>
      </c>
      <c r="C61" s="5" t="s">
        <v>107</v>
      </c>
      <c r="D61" s="9" t="s">
        <v>22</v>
      </c>
      <c r="E61" s="3"/>
      <c r="F61" s="7">
        <f t="shared" si="1"/>
        <v>61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46062.0</v>
      </c>
      <c r="B62" s="5" t="s">
        <v>108</v>
      </c>
      <c r="C62" s="5" t="s">
        <v>109</v>
      </c>
      <c r="D62" s="6" t="s">
        <v>17</v>
      </c>
      <c r="E62" s="1"/>
      <c r="F62" s="7">
        <f t="shared" si="1"/>
        <v>62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46064.0</v>
      </c>
      <c r="B63" s="5" t="s">
        <v>110</v>
      </c>
      <c r="C63" s="5" t="s">
        <v>111</v>
      </c>
      <c r="D63" s="9" t="s">
        <v>22</v>
      </c>
      <c r="E63" s="3"/>
      <c r="F63" s="7">
        <f t="shared" si="1"/>
        <v>63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46065.0</v>
      </c>
      <c r="B64" s="5" t="s">
        <v>112</v>
      </c>
      <c r="C64" s="5" t="s">
        <v>113</v>
      </c>
      <c r="D64" s="9" t="s">
        <v>22</v>
      </c>
      <c r="E64" s="3"/>
      <c r="F64" s="7">
        <f t="shared" si="1"/>
        <v>64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46067.0</v>
      </c>
      <c r="B65" s="5" t="s">
        <v>114</v>
      </c>
      <c r="C65" s="5" t="s">
        <v>115</v>
      </c>
      <c r="D65" s="9" t="s">
        <v>22</v>
      </c>
      <c r="E65" s="3"/>
      <c r="F65" s="7">
        <f t="shared" si="1"/>
        <v>65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46067.0</v>
      </c>
      <c r="B66" s="5" t="s">
        <v>49</v>
      </c>
      <c r="C66" s="5" t="s">
        <v>116</v>
      </c>
      <c r="D66" s="9" t="s">
        <v>22</v>
      </c>
      <c r="E66" s="3"/>
      <c r="F66" s="7">
        <f t="shared" si="1"/>
        <v>66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46068.0</v>
      </c>
      <c r="B67" s="5" t="s">
        <v>117</v>
      </c>
      <c r="C67" s="5" t="s">
        <v>118</v>
      </c>
      <c r="D67" s="9" t="s">
        <v>22</v>
      </c>
      <c r="E67" s="3"/>
      <c r="F67" s="7">
        <f t="shared" si="1"/>
        <v>67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46069.0</v>
      </c>
      <c r="B68" s="5" t="s">
        <v>119</v>
      </c>
      <c r="C68" s="5" t="s">
        <v>120</v>
      </c>
      <c r="D68" s="9" t="s">
        <v>22</v>
      </c>
      <c r="E68" s="3"/>
      <c r="F68" s="7">
        <f t="shared" si="1"/>
        <v>68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46069.0</v>
      </c>
      <c r="B69" s="5" t="s">
        <v>121</v>
      </c>
      <c r="C69" s="5" t="s">
        <v>122</v>
      </c>
      <c r="D69" s="9" t="s">
        <v>22</v>
      </c>
      <c r="E69" s="3"/>
      <c r="F69" s="7">
        <f t="shared" si="1"/>
        <v>69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46069.0</v>
      </c>
      <c r="B70" s="5" t="s">
        <v>23</v>
      </c>
      <c r="C70" s="5" t="s">
        <v>123</v>
      </c>
      <c r="D70" s="9" t="s">
        <v>22</v>
      </c>
      <c r="E70" s="1"/>
      <c r="F70" s="7">
        <f t="shared" si="1"/>
        <v>70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46069.0</v>
      </c>
      <c r="B71" s="5" t="s">
        <v>98</v>
      </c>
      <c r="C71" s="5" t="s">
        <v>70</v>
      </c>
      <c r="D71" s="9" t="s">
        <v>22</v>
      </c>
      <c r="E71" s="1"/>
      <c r="F71" s="7">
        <f t="shared" si="1"/>
        <v>71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46070.0</v>
      </c>
      <c r="B72" s="5" t="s">
        <v>106</v>
      </c>
      <c r="C72" s="5" t="s">
        <v>124</v>
      </c>
      <c r="D72" s="9" t="s">
        <v>22</v>
      </c>
      <c r="E72" s="3"/>
      <c r="F72" s="7">
        <f t="shared" si="1"/>
        <v>72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46070.0</v>
      </c>
      <c r="B73" s="5" t="s">
        <v>125</v>
      </c>
      <c r="C73" s="5" t="s">
        <v>70</v>
      </c>
      <c r="D73" s="9" t="s">
        <v>22</v>
      </c>
      <c r="E73" s="3"/>
      <c r="F73" s="7">
        <f t="shared" si="1"/>
        <v>73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46070.0</v>
      </c>
      <c r="B74" s="5" t="s">
        <v>98</v>
      </c>
      <c r="C74" s="5" t="s">
        <v>126</v>
      </c>
      <c r="D74" s="9" t="s">
        <v>22</v>
      </c>
      <c r="E74" s="3"/>
      <c r="F74" s="7">
        <f t="shared" si="1"/>
        <v>74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46070.0</v>
      </c>
      <c r="B75" s="5" t="s">
        <v>127</v>
      </c>
      <c r="C75" s="5" t="s">
        <v>128</v>
      </c>
      <c r="D75" s="6" t="s">
        <v>8</v>
      </c>
      <c r="E75" s="3"/>
      <c r="F75" s="7">
        <f t="shared" si="1"/>
        <v>75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46070.0</v>
      </c>
      <c r="B76" s="5" t="s">
        <v>76</v>
      </c>
      <c r="C76" s="5" t="s">
        <v>129</v>
      </c>
      <c r="D76" s="6" t="s">
        <v>8</v>
      </c>
      <c r="E76" s="1"/>
      <c r="F76" s="7">
        <f t="shared" si="1"/>
        <v>76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46070.0</v>
      </c>
      <c r="B77" s="5" t="s">
        <v>130</v>
      </c>
      <c r="C77" s="5" t="s">
        <v>131</v>
      </c>
      <c r="D77" s="6" t="s">
        <v>8</v>
      </c>
      <c r="E77" s="3"/>
      <c r="F77" s="7">
        <f t="shared" si="1"/>
        <v>77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46071.0</v>
      </c>
      <c r="B78" s="5" t="s">
        <v>132</v>
      </c>
      <c r="C78" s="5" t="s">
        <v>133</v>
      </c>
      <c r="D78" s="9" t="s">
        <v>22</v>
      </c>
      <c r="E78" s="3"/>
      <c r="F78" s="7">
        <f t="shared" si="1"/>
        <v>78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46071.0</v>
      </c>
      <c r="B79" s="5" t="s">
        <v>77</v>
      </c>
      <c r="C79" s="5" t="s">
        <v>134</v>
      </c>
      <c r="D79" s="9" t="s">
        <v>22</v>
      </c>
      <c r="E79" s="3"/>
      <c r="F79" s="7">
        <f t="shared" si="1"/>
        <v>79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46071.0</v>
      </c>
      <c r="B80" s="5" t="s">
        <v>135</v>
      </c>
      <c r="C80" s="5" t="s">
        <v>136</v>
      </c>
      <c r="D80" s="6" t="s">
        <v>17</v>
      </c>
      <c r="E80" s="3"/>
      <c r="F80" s="7">
        <f t="shared" si="1"/>
        <v>80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46072.0</v>
      </c>
      <c r="B81" s="5" t="s">
        <v>137</v>
      </c>
      <c r="C81" s="5" t="s">
        <v>138</v>
      </c>
      <c r="D81" s="9" t="s">
        <v>22</v>
      </c>
      <c r="E81" s="1"/>
      <c r="F81" s="7">
        <f t="shared" si="1"/>
        <v>81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46072.0</v>
      </c>
      <c r="B82" s="5" t="s">
        <v>139</v>
      </c>
      <c r="C82" s="5" t="s">
        <v>95</v>
      </c>
      <c r="D82" s="6" t="s">
        <v>17</v>
      </c>
      <c r="E82" s="3"/>
      <c r="F82" s="7">
        <f t="shared" si="1"/>
        <v>82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46074.0</v>
      </c>
      <c r="B83" s="5" t="s">
        <v>140</v>
      </c>
      <c r="C83" s="5" t="s">
        <v>141</v>
      </c>
      <c r="D83" s="9" t="s">
        <v>22</v>
      </c>
      <c r="E83" s="10"/>
      <c r="F83" s="7">
        <f t="shared" si="1"/>
        <v>83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46075.0</v>
      </c>
      <c r="B84" s="5" t="s">
        <v>142</v>
      </c>
      <c r="C84" s="5" t="s">
        <v>33</v>
      </c>
      <c r="D84" s="9" t="s">
        <v>22</v>
      </c>
      <c r="E84" s="10"/>
      <c r="F84" s="7">
        <f t="shared" si="1"/>
        <v>84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46075.0</v>
      </c>
      <c r="B85" s="5" t="s">
        <v>143</v>
      </c>
      <c r="C85" s="5" t="s">
        <v>144</v>
      </c>
      <c r="D85" s="9" t="s">
        <v>22</v>
      </c>
      <c r="E85" s="10"/>
      <c r="F85" s="7">
        <f t="shared" si="1"/>
        <v>85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46076.0</v>
      </c>
      <c r="B86" s="5" t="s">
        <v>145</v>
      </c>
      <c r="C86" s="5" t="s">
        <v>46</v>
      </c>
      <c r="D86" s="9" t="s">
        <v>22</v>
      </c>
      <c r="E86" s="11"/>
      <c r="F86" s="7">
        <f t="shared" si="1"/>
        <v>86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46076.0</v>
      </c>
      <c r="B87" s="5" t="s">
        <v>146</v>
      </c>
      <c r="C87" s="5" t="s">
        <v>147</v>
      </c>
      <c r="D87" s="9" t="s">
        <v>22</v>
      </c>
      <c r="E87" s="10"/>
      <c r="F87" s="7">
        <f t="shared" si="1"/>
        <v>87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46077.0</v>
      </c>
      <c r="B88" s="5" t="s">
        <v>148</v>
      </c>
      <c r="C88" s="5" t="s">
        <v>149</v>
      </c>
      <c r="D88" s="9" t="s">
        <v>22</v>
      </c>
      <c r="E88" s="10"/>
      <c r="F88" s="7">
        <f t="shared" si="1"/>
        <v>88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46077.0</v>
      </c>
      <c r="B89" s="5" t="s">
        <v>150</v>
      </c>
      <c r="C89" s="5" t="s">
        <v>151</v>
      </c>
      <c r="D89" s="9" t="s">
        <v>22</v>
      </c>
      <c r="E89" s="10"/>
      <c r="F89" s="7">
        <f t="shared" si="1"/>
        <v>89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46079.0</v>
      </c>
      <c r="B90" s="5" t="s">
        <v>152</v>
      </c>
      <c r="C90" s="5" t="s">
        <v>153</v>
      </c>
      <c r="D90" s="6" t="s">
        <v>17</v>
      </c>
      <c r="E90" s="3"/>
      <c r="F90" s="7">
        <f t="shared" si="1"/>
        <v>90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46079.0</v>
      </c>
      <c r="B91" s="5" t="s">
        <v>28</v>
      </c>
      <c r="C91" s="5" t="s">
        <v>37</v>
      </c>
      <c r="D91" s="6" t="s">
        <v>17</v>
      </c>
      <c r="E91" s="3"/>
      <c r="F91" s="7">
        <f t="shared" si="1"/>
        <v>91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46079.0</v>
      </c>
      <c r="B92" s="5" t="s">
        <v>76</v>
      </c>
      <c r="C92" s="5" t="s">
        <v>38</v>
      </c>
      <c r="D92" s="6" t="s">
        <v>8</v>
      </c>
      <c r="E92" s="3"/>
      <c r="F92" s="7">
        <f t="shared" si="1"/>
        <v>92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46080.0</v>
      </c>
      <c r="B93" s="5" t="s">
        <v>154</v>
      </c>
      <c r="C93" s="5" t="s">
        <v>155</v>
      </c>
      <c r="D93" s="9" t="s">
        <v>22</v>
      </c>
      <c r="E93" s="3"/>
      <c r="F93" s="7">
        <f t="shared" si="1"/>
        <v>93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46080.0</v>
      </c>
      <c r="B94" s="5" t="s">
        <v>156</v>
      </c>
      <c r="C94" s="5" t="s">
        <v>157</v>
      </c>
      <c r="D94" s="9" t="s">
        <v>22</v>
      </c>
      <c r="E94" s="3"/>
      <c r="F94" s="7">
        <f t="shared" si="1"/>
        <v>94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46080.0</v>
      </c>
      <c r="B95" s="5" t="s">
        <v>158</v>
      </c>
      <c r="C95" s="5" t="s">
        <v>159</v>
      </c>
      <c r="D95" s="9" t="s">
        <v>22</v>
      </c>
      <c r="E95" s="3"/>
      <c r="F95" s="7">
        <f t="shared" si="1"/>
        <v>95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46080.0</v>
      </c>
      <c r="B96" s="5" t="s">
        <v>85</v>
      </c>
      <c r="C96" s="5" t="s">
        <v>160</v>
      </c>
      <c r="D96" s="9" t="s">
        <v>161</v>
      </c>
      <c r="E96" s="3"/>
      <c r="F96" s="7">
        <f t="shared" si="1"/>
        <v>96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46080.0</v>
      </c>
      <c r="B97" s="5" t="s">
        <v>36</v>
      </c>
      <c r="C97" s="5" t="s">
        <v>162</v>
      </c>
      <c r="D97" s="6" t="s">
        <v>17</v>
      </c>
      <c r="E97" s="3"/>
      <c r="F97" s="7">
        <f t="shared" si="1"/>
        <v>97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">
        <v>46080.0</v>
      </c>
      <c r="B98" s="13" t="s">
        <v>87</v>
      </c>
      <c r="C98" s="13" t="s">
        <v>163</v>
      </c>
      <c r="D98" s="14" t="s">
        <v>17</v>
      </c>
      <c r="E98" s="3"/>
      <c r="F98" s="7">
        <f t="shared" si="1"/>
        <v>98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46081.0</v>
      </c>
      <c r="B99" s="5" t="s">
        <v>23</v>
      </c>
      <c r="C99" s="5" t="s">
        <v>35</v>
      </c>
      <c r="D99" s="9" t="s">
        <v>22</v>
      </c>
      <c r="E99" s="3"/>
      <c r="F99" s="7">
        <f t="shared" si="1"/>
        <v>99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46081.0</v>
      </c>
      <c r="B100" s="5" t="s">
        <v>23</v>
      </c>
      <c r="C100" s="5" t="s">
        <v>164</v>
      </c>
      <c r="D100" s="9" t="s">
        <v>22</v>
      </c>
      <c r="E100" s="3"/>
      <c r="F100" s="7">
        <f t="shared" si="1"/>
        <v>100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46082.0</v>
      </c>
      <c r="B101" s="5" t="s">
        <v>165</v>
      </c>
      <c r="C101" s="5" t="s">
        <v>166</v>
      </c>
      <c r="D101" s="9" t="s">
        <v>22</v>
      </c>
      <c r="E101" s="3"/>
      <c r="F101" s="7">
        <f t="shared" si="1"/>
        <v>101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46082.0</v>
      </c>
      <c r="B102" s="5" t="s">
        <v>167</v>
      </c>
      <c r="C102" s="5" t="s">
        <v>168</v>
      </c>
      <c r="D102" s="9" t="s">
        <v>22</v>
      </c>
      <c r="E102" s="3"/>
      <c r="F102" s="7">
        <f t="shared" si="1"/>
        <v>102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46082.0</v>
      </c>
      <c r="B103" s="5" t="s">
        <v>169</v>
      </c>
      <c r="C103" s="5" t="s">
        <v>170</v>
      </c>
      <c r="D103" s="9" t="s">
        <v>22</v>
      </c>
      <c r="E103" s="3"/>
      <c r="F103" s="7">
        <f t="shared" si="1"/>
        <v>103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46082.0</v>
      </c>
      <c r="B104" s="5" t="s">
        <v>171</v>
      </c>
      <c r="C104" s="5" t="s">
        <v>172</v>
      </c>
      <c r="D104" s="9" t="s">
        <v>22</v>
      </c>
      <c r="E104" s="3"/>
      <c r="F104" s="7">
        <f t="shared" si="1"/>
        <v>104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46083.0</v>
      </c>
      <c r="B105" s="5" t="s">
        <v>173</v>
      </c>
      <c r="C105" s="5" t="s">
        <v>174</v>
      </c>
      <c r="D105" s="9" t="s">
        <v>22</v>
      </c>
      <c r="E105" s="3"/>
      <c r="F105" s="7">
        <f t="shared" si="1"/>
        <v>105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46083.0</v>
      </c>
      <c r="B106" s="5" t="s">
        <v>23</v>
      </c>
      <c r="C106" s="5" t="s">
        <v>164</v>
      </c>
      <c r="D106" s="9" t="s">
        <v>22</v>
      </c>
      <c r="E106" s="3"/>
      <c r="F106" s="7">
        <f t="shared" si="1"/>
        <v>106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46083.0</v>
      </c>
      <c r="B107" s="5" t="s">
        <v>175</v>
      </c>
      <c r="C107" s="5" t="s">
        <v>176</v>
      </c>
      <c r="D107" s="9" t="s">
        <v>22</v>
      </c>
      <c r="E107" s="3"/>
      <c r="F107" s="7">
        <f t="shared" si="1"/>
        <v>107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46083.0</v>
      </c>
      <c r="B108" s="5" t="s">
        <v>6</v>
      </c>
      <c r="C108" s="5" t="s">
        <v>177</v>
      </c>
      <c r="D108" s="6" t="s">
        <v>8</v>
      </c>
      <c r="E108" s="3"/>
      <c r="F108" s="7">
        <f t="shared" si="1"/>
        <v>108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46083.0</v>
      </c>
      <c r="B109" s="5" t="s">
        <v>127</v>
      </c>
      <c r="C109" s="5" t="s">
        <v>178</v>
      </c>
      <c r="D109" s="6" t="s">
        <v>8</v>
      </c>
      <c r="E109" s="3"/>
      <c r="F109" s="7">
        <f t="shared" si="1"/>
        <v>109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46083.0</v>
      </c>
      <c r="B110" s="5" t="s">
        <v>179</v>
      </c>
      <c r="C110" s="5" t="s">
        <v>38</v>
      </c>
      <c r="D110" s="6" t="s">
        <v>8</v>
      </c>
      <c r="E110" s="3"/>
      <c r="F110" s="7">
        <f t="shared" si="1"/>
        <v>110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46083.0</v>
      </c>
      <c r="B111" s="5" t="s">
        <v>96</v>
      </c>
      <c r="C111" s="5" t="s">
        <v>180</v>
      </c>
      <c r="D111" s="6" t="s">
        <v>17</v>
      </c>
      <c r="E111" s="3"/>
      <c r="F111" s="7">
        <f t="shared" si="1"/>
        <v>111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46083.0</v>
      </c>
      <c r="B112" s="5" t="s">
        <v>9</v>
      </c>
      <c r="C112" s="5" t="s">
        <v>181</v>
      </c>
      <c r="D112" s="6" t="s">
        <v>8</v>
      </c>
      <c r="E112" s="3"/>
      <c r="F112" s="7">
        <f t="shared" si="1"/>
        <v>112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46083.0</v>
      </c>
      <c r="B113" s="5" t="s">
        <v>36</v>
      </c>
      <c r="C113" s="5" t="s">
        <v>182</v>
      </c>
      <c r="D113" s="6" t="s">
        <v>17</v>
      </c>
      <c r="E113" s="3"/>
      <c r="F113" s="7">
        <f t="shared" si="1"/>
        <v>113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46083.0</v>
      </c>
      <c r="B114" s="5" t="s">
        <v>9</v>
      </c>
      <c r="C114" s="5" t="s">
        <v>183</v>
      </c>
      <c r="D114" s="6" t="s">
        <v>8</v>
      </c>
      <c r="E114" s="3"/>
      <c r="F114" s="7">
        <f t="shared" si="1"/>
        <v>114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46083.0</v>
      </c>
      <c r="B115" s="5" t="s">
        <v>184</v>
      </c>
      <c r="C115" s="5" t="s">
        <v>185</v>
      </c>
      <c r="D115" s="6" t="s">
        <v>17</v>
      </c>
      <c r="E115" s="3"/>
      <c r="F115" s="7">
        <f t="shared" si="1"/>
        <v>115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46083.0</v>
      </c>
      <c r="B116" s="5" t="s">
        <v>186</v>
      </c>
      <c r="C116" s="5" t="s">
        <v>185</v>
      </c>
      <c r="D116" s="6" t="s">
        <v>17</v>
      </c>
      <c r="E116" s="3"/>
      <c r="F116" s="7">
        <f t="shared" si="1"/>
        <v>116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46083.0</v>
      </c>
      <c r="B117" s="5" t="s">
        <v>96</v>
      </c>
      <c r="C117" s="5" t="s">
        <v>185</v>
      </c>
      <c r="D117" s="6" t="s">
        <v>17</v>
      </c>
      <c r="E117" s="3"/>
      <c r="F117" s="7">
        <f t="shared" si="1"/>
        <v>117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46083.0</v>
      </c>
      <c r="B118" s="5" t="s">
        <v>135</v>
      </c>
      <c r="C118" s="5" t="s">
        <v>185</v>
      </c>
      <c r="D118" s="6" t="s">
        <v>17</v>
      </c>
      <c r="E118" s="3"/>
      <c r="F118" s="7">
        <f t="shared" si="1"/>
        <v>118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46083.0</v>
      </c>
      <c r="B119" s="5" t="s">
        <v>187</v>
      </c>
      <c r="C119" s="5" t="s">
        <v>185</v>
      </c>
      <c r="D119" s="6" t="s">
        <v>17</v>
      </c>
      <c r="E119" s="3"/>
      <c r="F119" s="7">
        <f t="shared" si="1"/>
        <v>119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46084.0</v>
      </c>
      <c r="B120" s="5" t="s">
        <v>188</v>
      </c>
      <c r="C120" s="5" t="s">
        <v>176</v>
      </c>
      <c r="D120" s="9" t="s">
        <v>22</v>
      </c>
      <c r="E120" s="3"/>
      <c r="F120" s="7">
        <f t="shared" si="1"/>
        <v>120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46084.0</v>
      </c>
      <c r="B121" s="5" t="s">
        <v>121</v>
      </c>
      <c r="C121" s="5" t="s">
        <v>189</v>
      </c>
      <c r="D121" s="9" t="s">
        <v>22</v>
      </c>
      <c r="E121" s="3"/>
      <c r="F121" s="7">
        <f t="shared" si="1"/>
        <v>121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46085.0</v>
      </c>
      <c r="B122" s="5" t="s">
        <v>23</v>
      </c>
      <c r="C122" s="5" t="s">
        <v>190</v>
      </c>
      <c r="D122" s="9" t="s">
        <v>22</v>
      </c>
      <c r="E122" s="3"/>
      <c r="F122" s="7">
        <f t="shared" si="1"/>
        <v>122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46087.0</v>
      </c>
      <c r="B123" s="5" t="s">
        <v>191</v>
      </c>
      <c r="C123" s="5" t="s">
        <v>192</v>
      </c>
      <c r="D123" s="9" t="s">
        <v>22</v>
      </c>
      <c r="E123" s="3"/>
      <c r="F123" s="7">
        <f t="shared" si="1"/>
        <v>123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46087.0</v>
      </c>
      <c r="B124" s="5" t="s">
        <v>23</v>
      </c>
      <c r="C124" s="5" t="s">
        <v>24</v>
      </c>
      <c r="D124" s="9" t="s">
        <v>22</v>
      </c>
      <c r="E124" s="3"/>
      <c r="F124" s="7">
        <f t="shared" si="1"/>
        <v>124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46087.0</v>
      </c>
      <c r="B125" s="5" t="s">
        <v>193</v>
      </c>
      <c r="C125" s="5" t="s">
        <v>194</v>
      </c>
      <c r="D125" s="6" t="s">
        <v>17</v>
      </c>
      <c r="E125" s="3"/>
      <c r="F125" s="7">
        <f t="shared" si="1"/>
        <v>125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46088.0</v>
      </c>
      <c r="B126" s="5" t="s">
        <v>195</v>
      </c>
      <c r="C126" s="5" t="s">
        <v>196</v>
      </c>
      <c r="D126" s="9" t="s">
        <v>22</v>
      </c>
      <c r="E126" s="3"/>
      <c r="F126" s="7">
        <f t="shared" si="1"/>
        <v>126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>
        <v>46088.0</v>
      </c>
      <c r="B127" s="5" t="s">
        <v>197</v>
      </c>
      <c r="C127" s="5" t="s">
        <v>198</v>
      </c>
      <c r="D127" s="9" t="s">
        <v>22</v>
      </c>
      <c r="E127" s="3"/>
      <c r="F127" s="7">
        <f t="shared" si="1"/>
        <v>127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46088.0</v>
      </c>
      <c r="B128" s="5" t="s">
        <v>199</v>
      </c>
      <c r="C128" s="5" t="s">
        <v>200</v>
      </c>
      <c r="D128" s="9" t="s">
        <v>22</v>
      </c>
      <c r="E128" s="3"/>
      <c r="F128" s="7">
        <f t="shared" si="1"/>
        <v>128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>
        <v>46089.0</v>
      </c>
      <c r="B129" s="5" t="s">
        <v>201</v>
      </c>
      <c r="C129" s="5" t="s">
        <v>202</v>
      </c>
      <c r="D129" s="9" t="s">
        <v>22</v>
      </c>
      <c r="E129" s="3"/>
      <c r="F129" s="7">
        <f t="shared" si="1"/>
        <v>129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46089.0</v>
      </c>
      <c r="B130" s="5" t="s">
        <v>203</v>
      </c>
      <c r="C130" s="5" t="s">
        <v>204</v>
      </c>
      <c r="D130" s="9" t="s">
        <v>22</v>
      </c>
      <c r="E130" s="3"/>
      <c r="F130" s="7">
        <f t="shared" si="1"/>
        <v>130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>
        <v>46090.0</v>
      </c>
      <c r="B131" s="5" t="s">
        <v>98</v>
      </c>
      <c r="C131" s="5" t="s">
        <v>205</v>
      </c>
      <c r="D131" s="9" t="s">
        <v>22</v>
      </c>
      <c r="E131" s="3"/>
      <c r="F131" s="7">
        <f t="shared" si="1"/>
        <v>131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46090.0</v>
      </c>
      <c r="B132" s="5" t="s">
        <v>25</v>
      </c>
      <c r="C132" s="5" t="s">
        <v>38</v>
      </c>
      <c r="D132" s="6" t="s">
        <v>17</v>
      </c>
      <c r="E132" s="3"/>
      <c r="F132" s="7">
        <f t="shared" si="1"/>
        <v>132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>
        <v>46090.0</v>
      </c>
      <c r="B133" s="5" t="s">
        <v>206</v>
      </c>
      <c r="C133" s="5" t="s">
        <v>38</v>
      </c>
      <c r="D133" s="6" t="s">
        <v>17</v>
      </c>
      <c r="E133" s="3"/>
      <c r="F133" s="7">
        <f t="shared" si="1"/>
        <v>133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46090.0</v>
      </c>
      <c r="B134" s="5" t="s">
        <v>108</v>
      </c>
      <c r="C134" s="5" t="s">
        <v>95</v>
      </c>
      <c r="D134" s="6" t="s">
        <v>17</v>
      </c>
      <c r="E134" s="3"/>
      <c r="F134" s="7">
        <f t="shared" si="1"/>
        <v>134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>
        <v>46090.0</v>
      </c>
      <c r="B135" s="5" t="s">
        <v>76</v>
      </c>
      <c r="C135" s="5" t="s">
        <v>207</v>
      </c>
      <c r="D135" s="6" t="s">
        <v>8</v>
      </c>
      <c r="E135" s="3"/>
      <c r="F135" s="7">
        <f t="shared" si="1"/>
        <v>135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46090.0</v>
      </c>
      <c r="B136" s="5" t="s">
        <v>36</v>
      </c>
      <c r="C136" s="5" t="s">
        <v>208</v>
      </c>
      <c r="D136" s="6" t="s">
        <v>17</v>
      </c>
      <c r="E136" s="3"/>
      <c r="F136" s="7">
        <f t="shared" si="1"/>
        <v>136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>
        <v>46091.0</v>
      </c>
      <c r="B137" s="5" t="s">
        <v>98</v>
      </c>
      <c r="C137" s="5" t="s">
        <v>24</v>
      </c>
      <c r="D137" s="9" t="s">
        <v>22</v>
      </c>
      <c r="E137" s="3"/>
      <c r="F137" s="7">
        <f t="shared" si="1"/>
        <v>137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46093.0</v>
      </c>
      <c r="B138" s="5" t="s">
        <v>209</v>
      </c>
      <c r="C138" s="5" t="s">
        <v>210</v>
      </c>
      <c r="D138" s="9" t="s">
        <v>22</v>
      </c>
      <c r="E138" s="3"/>
      <c r="F138" s="7">
        <f t="shared" si="1"/>
        <v>138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>
        <v>46093.0</v>
      </c>
      <c r="B139" s="5" t="s">
        <v>101</v>
      </c>
      <c r="C139" s="5" t="s">
        <v>211</v>
      </c>
      <c r="D139" s="9" t="s">
        <v>22</v>
      </c>
      <c r="E139" s="3"/>
      <c r="F139" s="7">
        <f t="shared" si="1"/>
        <v>139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46093.0</v>
      </c>
      <c r="B140" s="5" t="s">
        <v>152</v>
      </c>
      <c r="C140" s="5" t="s">
        <v>95</v>
      </c>
      <c r="D140" s="6" t="s">
        <v>17</v>
      </c>
      <c r="E140" s="3"/>
      <c r="F140" s="7">
        <f t="shared" si="1"/>
        <v>140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>
        <v>46094.0</v>
      </c>
      <c r="B141" s="5" t="s">
        <v>212</v>
      </c>
      <c r="C141" s="5" t="s">
        <v>105</v>
      </c>
      <c r="D141" s="9" t="s">
        <v>22</v>
      </c>
      <c r="E141" s="3"/>
      <c r="F141" s="7">
        <f t="shared" si="1"/>
        <v>141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46094.0</v>
      </c>
      <c r="B142" s="5" t="s">
        <v>213</v>
      </c>
      <c r="C142" s="5" t="s">
        <v>214</v>
      </c>
      <c r="D142" s="9" t="s">
        <v>22</v>
      </c>
      <c r="E142" s="3"/>
      <c r="F142" s="7">
        <f t="shared" si="1"/>
        <v>142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>
        <v>46095.0</v>
      </c>
      <c r="B143" s="5" t="s">
        <v>49</v>
      </c>
      <c r="C143" s="5" t="s">
        <v>215</v>
      </c>
      <c r="D143" s="9" t="s">
        <v>22</v>
      </c>
      <c r="E143" s="3"/>
      <c r="F143" s="7">
        <f t="shared" si="1"/>
        <v>143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46097.0</v>
      </c>
      <c r="B144" s="5" t="s">
        <v>216</v>
      </c>
      <c r="C144" s="5" t="s">
        <v>217</v>
      </c>
      <c r="D144" s="6" t="s">
        <v>8</v>
      </c>
      <c r="E144" s="3"/>
      <c r="F144" s="7">
        <f t="shared" si="1"/>
        <v>144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>
        <v>46099.0</v>
      </c>
      <c r="B145" s="5" t="s">
        <v>57</v>
      </c>
      <c r="C145" s="5" t="s">
        <v>218</v>
      </c>
      <c r="D145" s="6" t="s">
        <v>8</v>
      </c>
      <c r="E145" s="3"/>
      <c r="F145" s="7">
        <f t="shared" si="1"/>
        <v>145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46099.0</v>
      </c>
      <c r="B146" s="5" t="s">
        <v>219</v>
      </c>
      <c r="C146" s="5" t="s">
        <v>38</v>
      </c>
      <c r="D146" s="6" t="s">
        <v>8</v>
      </c>
      <c r="E146" s="3"/>
      <c r="F146" s="7">
        <f t="shared" si="1"/>
        <v>146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>
        <v>46099.0</v>
      </c>
      <c r="B147" s="5" t="s">
        <v>220</v>
      </c>
      <c r="C147" s="5" t="s">
        <v>221</v>
      </c>
      <c r="D147" s="6" t="s">
        <v>8</v>
      </c>
      <c r="E147" s="3"/>
      <c r="F147" s="7">
        <f t="shared" si="1"/>
        <v>147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46101.0</v>
      </c>
      <c r="B148" s="5" t="s">
        <v>222</v>
      </c>
      <c r="C148" s="5" t="s">
        <v>223</v>
      </c>
      <c r="D148" s="6" t="s">
        <v>8</v>
      </c>
      <c r="E148" s="3"/>
      <c r="F148" s="7">
        <f t="shared" si="1"/>
        <v>148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>
        <v>46101.0</v>
      </c>
      <c r="B149" s="5" t="s">
        <v>224</v>
      </c>
      <c r="C149" s="5" t="s">
        <v>225</v>
      </c>
      <c r="D149" s="6" t="s">
        <v>17</v>
      </c>
      <c r="E149" s="3"/>
      <c r="F149" s="7">
        <f t="shared" si="1"/>
        <v>149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46101.0</v>
      </c>
      <c r="B150" s="5" t="s">
        <v>226</v>
      </c>
      <c r="C150" s="5" t="s">
        <v>227</v>
      </c>
      <c r="D150" s="6" t="s">
        <v>17</v>
      </c>
      <c r="E150" s="3"/>
      <c r="F150" s="7">
        <f t="shared" si="1"/>
        <v>150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>
        <v>46101.0</v>
      </c>
      <c r="B151" s="5" t="s">
        <v>228</v>
      </c>
      <c r="C151" s="5" t="s">
        <v>227</v>
      </c>
      <c r="D151" s="6" t="s">
        <v>17</v>
      </c>
      <c r="E151" s="3"/>
      <c r="F151" s="7">
        <f t="shared" si="1"/>
        <v>151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46104.0</v>
      </c>
      <c r="B152" s="5" t="s">
        <v>76</v>
      </c>
      <c r="C152" s="5" t="s">
        <v>136</v>
      </c>
      <c r="D152" s="6" t="s">
        <v>8</v>
      </c>
      <c r="E152" s="3"/>
      <c r="F152" s="7">
        <f t="shared" si="1"/>
        <v>152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46105.0</v>
      </c>
      <c r="B153" s="5" t="s">
        <v>36</v>
      </c>
      <c r="C153" s="5" t="s">
        <v>38</v>
      </c>
      <c r="D153" s="6" t="s">
        <v>17</v>
      </c>
      <c r="E153" s="3"/>
      <c r="F153" s="7">
        <f t="shared" si="1"/>
        <v>153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46106.0</v>
      </c>
      <c r="B154" s="5" t="s">
        <v>36</v>
      </c>
      <c r="C154" s="5" t="s">
        <v>162</v>
      </c>
      <c r="D154" s="6" t="s">
        <v>17</v>
      </c>
      <c r="E154" s="3"/>
      <c r="F154" s="7">
        <f t="shared" si="1"/>
        <v>154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>
        <v>46107.0</v>
      </c>
      <c r="B155" s="5" t="s">
        <v>229</v>
      </c>
      <c r="C155" s="5" t="s">
        <v>230</v>
      </c>
      <c r="D155" s="6" t="s">
        <v>17</v>
      </c>
      <c r="E155" s="3"/>
      <c r="F155" s="7">
        <f t="shared" si="1"/>
        <v>155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46107.0</v>
      </c>
      <c r="B156" s="5" t="s">
        <v>76</v>
      </c>
      <c r="C156" s="5" t="s">
        <v>162</v>
      </c>
      <c r="D156" s="6" t="s">
        <v>8</v>
      </c>
      <c r="E156" s="3"/>
      <c r="F156" s="7">
        <f t="shared" si="1"/>
        <v>156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>
        <v>46108.0</v>
      </c>
      <c r="B157" s="5" t="s">
        <v>231</v>
      </c>
      <c r="C157" s="5" t="s">
        <v>227</v>
      </c>
      <c r="D157" s="6" t="s">
        <v>17</v>
      </c>
      <c r="E157" s="3"/>
      <c r="F157" s="7">
        <f t="shared" si="1"/>
        <v>157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46111.0</v>
      </c>
      <c r="B158" s="5" t="s">
        <v>87</v>
      </c>
      <c r="C158" s="5" t="s">
        <v>232</v>
      </c>
      <c r="D158" s="6" t="s">
        <v>17</v>
      </c>
      <c r="E158" s="3"/>
      <c r="F158" s="7">
        <f t="shared" si="1"/>
        <v>158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>
        <v>46111.0</v>
      </c>
      <c r="B159" s="5" t="s">
        <v>6</v>
      </c>
      <c r="C159" s="5" t="s">
        <v>233</v>
      </c>
      <c r="D159" s="6" t="s">
        <v>8</v>
      </c>
      <c r="E159" s="3"/>
      <c r="F159" s="7">
        <f t="shared" si="1"/>
        <v>159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46111.0</v>
      </c>
      <c r="B160" s="5" t="s">
        <v>179</v>
      </c>
      <c r="C160" s="5" t="s">
        <v>234</v>
      </c>
      <c r="D160" s="6" t="s">
        <v>8</v>
      </c>
      <c r="E160" s="3"/>
      <c r="F160" s="7">
        <f t="shared" si="1"/>
        <v>160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>
        <v>46111.0</v>
      </c>
      <c r="B161" s="5" t="s">
        <v>235</v>
      </c>
      <c r="C161" s="5" t="s">
        <v>236</v>
      </c>
      <c r="D161" s="6" t="s">
        <v>17</v>
      </c>
      <c r="E161" s="3"/>
      <c r="F161" s="7">
        <f t="shared" si="1"/>
        <v>161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46112.0</v>
      </c>
      <c r="B162" s="5" t="s">
        <v>179</v>
      </c>
      <c r="C162" s="5" t="s">
        <v>237</v>
      </c>
      <c r="D162" s="6" t="s">
        <v>8</v>
      </c>
      <c r="E162" s="15"/>
      <c r="F162" s="7">
        <f t="shared" si="1"/>
        <v>162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</sheetData>
  <conditionalFormatting sqref="G119">
    <cfRule type="notContainsBlanks" dxfId="0" priority="1">
      <formula>LEN(TRIM(G119))&gt;0</formula>
    </cfRule>
  </conditionalFormatting>
  <drawing r:id="rId1"/>
</worksheet>
</file>